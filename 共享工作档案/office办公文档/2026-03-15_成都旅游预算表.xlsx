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旅游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1"/>
    </font>
    <font>
      <name val="微软雅黑"/>
      <b val="1"/>
      <color rgb="00FFFFFF"/>
      <sz val="14"/>
    </font>
    <font>
      <name val="微软雅黑"/>
      <b val="1"/>
      <sz val="12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4" fillId="3" borderId="0" pivotButton="0" quotePrefix="0" xfId="0"/>
    <xf numFmtId="0" fontId="4" fillId="6" borderId="1" pivotButton="0" quotePrefix="0" xfId="0"/>
    <xf numFmtId="0" fontId="4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15" customWidth="1" min="4" max="4"/>
    <col width="25" customWidth="1" min="5" max="5"/>
  </cols>
  <sheetData>
    <row r="1" ht="30" customHeight="1">
      <c r="A1" s="1" t="inlineStr">
        <is>
          <t>🐼 成都3天2晚旅游预算表</t>
        </is>
      </c>
    </row>
    <row r="2">
      <c r="A2" s="2" t="inlineStr">
        <is>
          <t>出发地：北京</t>
        </is>
      </c>
    </row>
    <row r="3">
      <c r="A3" s="2" t="inlineStr">
        <is>
          <t>人数：2人</t>
        </is>
      </c>
    </row>
    <row r="4">
      <c r="A4" s="2" t="inlineStr">
        <is>
          <t>总预算：6000元（3000元/人）</t>
        </is>
      </c>
    </row>
    <row r="6">
      <c r="A6" s="3" t="inlineStr">
        <is>
          <t>费用类别</t>
        </is>
      </c>
      <c r="B6" s="3" t="inlineStr">
        <is>
          <t>明细项目</t>
        </is>
      </c>
      <c r="C6" s="3" t="inlineStr">
        <is>
          <t>经济型(元)</t>
        </is>
      </c>
      <c r="D6" s="3" t="inlineStr">
        <is>
          <t>舒适型(元)</t>
        </is>
      </c>
      <c r="E6" s="3" t="inlineStr">
        <is>
          <t>备注</t>
        </is>
      </c>
    </row>
    <row r="7">
      <c r="A7" s="4" t="inlineStr">
        <is>
          <t>交通费用</t>
        </is>
      </c>
      <c r="B7" s="5" t="n"/>
      <c r="C7" s="5" t="n"/>
      <c r="D7" s="5" t="n"/>
      <c r="E7" s="6" t="n"/>
    </row>
    <row r="8">
      <c r="A8" s="7" t="inlineStr">
        <is>
          <t>往返大交通</t>
        </is>
      </c>
      <c r="B8" s="7" t="inlineStr"/>
      <c r="C8" s="7" t="inlineStr"/>
      <c r="D8" s="7" t="inlineStr"/>
      <c r="E8" s="7" t="inlineStr"/>
    </row>
    <row r="9">
      <c r="A9" s="7" t="inlineStr">
        <is>
          <t xml:space="preserve">  - 高铁往返</t>
        </is>
      </c>
      <c r="B9" s="7" t="inlineStr">
        <is>
          <t>北京-成都高铁二等座</t>
        </is>
      </c>
      <c r="C9" s="7" t="n">
        <v>0</v>
      </c>
      <c r="D9" s="7" t="n">
        <v>0</v>
      </c>
      <c r="E9" s="7" t="inlineStr">
        <is>
          <t>约700-800元/人</t>
        </is>
      </c>
    </row>
    <row r="10">
      <c r="A10" s="7" t="inlineStr">
        <is>
          <t xml:space="preserve">  - 飞机往返</t>
        </is>
      </c>
      <c r="B10" s="7" t="inlineStr">
        <is>
          <t>北京-成都经济舱</t>
        </is>
      </c>
      <c r="C10" s="7" t="n">
        <v>0</v>
      </c>
      <c r="D10" s="7" t="n">
        <v>0</v>
      </c>
      <c r="E10" s="7" t="inlineStr">
        <is>
          <t>约800-1200元/人</t>
        </is>
      </c>
    </row>
    <row r="11">
      <c r="A11" s="7" t="inlineStr">
        <is>
          <t>市内交通</t>
        </is>
      </c>
      <c r="B11" s="7" t="inlineStr"/>
      <c r="C11" s="7" t="inlineStr"/>
      <c r="D11" s="7" t="inlineStr"/>
      <c r="E11" s="7" t="inlineStr"/>
    </row>
    <row r="12">
      <c r="A12" s="7" t="inlineStr">
        <is>
          <t xml:space="preserve">  - 地铁/公交</t>
        </is>
      </c>
      <c r="B12" s="7" t="inlineStr">
        <is>
          <t>3天×2人×20元/天</t>
        </is>
      </c>
      <c r="C12" s="7" t="n">
        <v>120</v>
      </c>
      <c r="D12" s="7" t="n">
        <v>120</v>
      </c>
      <c r="E12" s="7" t="inlineStr">
        <is>
          <t>按需调整</t>
        </is>
      </c>
    </row>
    <row r="13">
      <c r="A13" s="7" t="inlineStr">
        <is>
          <t xml:space="preserve">  - 打车/网约车</t>
        </is>
      </c>
      <c r="B13" s="7" t="inlineStr">
        <is>
          <t>3天×2人×30元/天</t>
        </is>
      </c>
      <c r="C13" s="7" t="n">
        <v>180</v>
      </c>
      <c r="D13" s="7" t="n">
        <v>180</v>
      </c>
      <c r="E13" s="7" t="inlineStr">
        <is>
          <t>按需调整</t>
        </is>
      </c>
    </row>
    <row r="14">
      <c r="A14" s="8" t="inlineStr">
        <is>
          <t>交通小计</t>
        </is>
      </c>
      <c r="C14" s="9">
        <f>SUM(C9:C10)</f>
        <v/>
      </c>
      <c r="D14" s="10">
        <f>SUM(D9:D10)</f>
        <v/>
      </c>
    </row>
    <row r="15">
      <c r="A15" s="11" t="inlineStr">
        <is>
          <t>住宿费用</t>
        </is>
      </c>
    </row>
    <row r="16">
      <c r="A16" s="7" t="inlineStr">
        <is>
          <t>经济型酒店</t>
        </is>
      </c>
      <c r="B16" s="7" t="inlineStr">
        <is>
          <t>200元/晚×2晚</t>
        </is>
      </c>
      <c r="C16" s="7" t="n">
        <v>400</v>
      </c>
      <c r="D16" s="7" t="n">
        <v>0</v>
      </c>
      <c r="E16" s="7" t="inlineStr"/>
    </row>
    <row r="17">
      <c r="A17" s="7" t="inlineStr">
        <is>
          <t>舒适型酒店</t>
        </is>
      </c>
      <c r="B17" s="7" t="inlineStr">
        <is>
          <t>0元/晚×2晚</t>
        </is>
      </c>
      <c r="C17" s="7" t="n">
        <v>0</v>
      </c>
      <c r="D17" s="7" t="n">
        <v>0</v>
      </c>
      <c r="E17" s="7" t="inlineStr">
        <is>
          <t>约400-600元/晚</t>
        </is>
      </c>
    </row>
    <row r="18">
      <c r="A18" s="8" t="inlineStr">
        <is>
          <t>住宿小计</t>
        </is>
      </c>
      <c r="C18" s="9">
        <f>C15</f>
        <v/>
      </c>
      <c r="D18" s="10">
        <f>D15</f>
        <v/>
      </c>
    </row>
    <row r="19">
      <c r="A19" s="11" t="inlineStr">
        <is>
          <t>餐饮费用</t>
        </is>
      </c>
    </row>
    <row r="20">
      <c r="A20" s="7" t="inlineStr">
        <is>
          <t>早餐</t>
        </is>
      </c>
      <c r="B20" s="7" t="inlineStr">
        <is>
          <t>3天×2人×15元/天</t>
        </is>
      </c>
      <c r="C20" s="7" t="n">
        <v>90</v>
      </c>
      <c r="D20" s="7" t="n">
        <v>180</v>
      </c>
      <c r="E20" s="7" t="inlineStr">
        <is>
          <t>经济型15元，舒适型30元</t>
        </is>
      </c>
    </row>
    <row r="21">
      <c r="A21" s="7" t="inlineStr">
        <is>
          <t>午餐</t>
        </is>
      </c>
      <c r="B21" s="7" t="inlineStr">
        <is>
          <t>3天×2人×40元/天</t>
        </is>
      </c>
      <c r="C21" s="7" t="n">
        <v>240</v>
      </c>
      <c r="D21" s="7" t="n">
        <v>360</v>
      </c>
      <c r="E21" s="7" t="inlineStr">
        <is>
          <t>经济型40元，舒适型60元</t>
        </is>
      </c>
    </row>
    <row r="22">
      <c r="A22" s="7" t="inlineStr">
        <is>
          <t>晚餐</t>
        </is>
      </c>
      <c r="B22" s="7" t="inlineStr">
        <is>
          <t>3天×2人×60元/天</t>
        </is>
      </c>
      <c r="C22" s="7" t="n">
        <v>360</v>
      </c>
      <c r="D22" s="7" t="n">
        <v>540</v>
      </c>
      <c r="E22" s="7" t="inlineStr">
        <is>
          <t>经济型60元，舒适型90元</t>
        </is>
      </c>
    </row>
    <row r="23">
      <c r="A23" s="7" t="inlineStr">
        <is>
          <t>小吃/零食</t>
        </is>
      </c>
      <c r="B23" s="7" t="inlineStr">
        <is>
          <t>3天×50元/天</t>
        </is>
      </c>
      <c r="C23" s="7" t="n">
        <v>150</v>
      </c>
      <c r="D23" s="7" t="n">
        <v>300</v>
      </c>
      <c r="E23" s="7" t="inlineStr"/>
    </row>
    <row r="24">
      <c r="A24" s="8" t="inlineStr">
        <is>
          <t>餐饮小计</t>
        </is>
      </c>
      <c r="C24" s="9">
        <f>SUM(C18:C21)</f>
        <v/>
      </c>
      <c r="D24" s="10">
        <f>SUM(D18:D21)</f>
        <v/>
      </c>
    </row>
    <row r="25">
      <c r="A25" s="11" t="inlineStr">
        <is>
          <t>景点门票</t>
        </is>
      </c>
    </row>
    <row r="26">
      <c r="A26" s="7" t="inlineStr">
        <is>
          <t>熊猫基地</t>
        </is>
      </c>
      <c r="B26" s="7" t="inlineStr">
        <is>
          <t>55元/人×2人</t>
        </is>
      </c>
      <c r="C26" s="7" t="n">
        <v>110</v>
      </c>
      <c r="D26" s="7" t="n">
        <v>110</v>
      </c>
      <c r="E26" s="7" t="inlineStr">
        <is>
          <t>含观光车</t>
        </is>
      </c>
    </row>
    <row r="27">
      <c r="A27" s="7" t="inlineStr">
        <is>
          <t>武侯祠</t>
        </is>
      </c>
      <c r="B27" s="7" t="inlineStr">
        <is>
          <t>50元/人×2人</t>
        </is>
      </c>
      <c r="C27" s="7" t="n">
        <v>100</v>
      </c>
      <c r="D27" s="7" t="n">
        <v>100</v>
      </c>
      <c r="E27" s="7" t="inlineStr"/>
    </row>
    <row r="28">
      <c r="A28" s="7" t="inlineStr">
        <is>
          <t>杜甫草堂</t>
        </is>
      </c>
      <c r="B28" s="7" t="inlineStr">
        <is>
          <t>50元/人×2人</t>
        </is>
      </c>
      <c r="C28" s="7" t="n">
        <v>100</v>
      </c>
      <c r="D28" s="7" t="n">
        <v>100</v>
      </c>
      <c r="E28" s="7" t="inlineStr"/>
    </row>
    <row r="29">
      <c r="A29" s="7" t="inlineStr">
        <is>
          <t>金沙遗址</t>
        </is>
      </c>
      <c r="B29" s="7" t="inlineStr">
        <is>
          <t>70元/人×2人</t>
        </is>
      </c>
      <c r="C29" s="7" t="n">
        <v>140</v>
      </c>
      <c r="D29" s="7" t="n">
        <v>140</v>
      </c>
      <c r="E29" s="7" t="inlineStr"/>
    </row>
    <row r="30">
      <c r="A30" s="7" t="inlineStr">
        <is>
          <t>其他景点</t>
        </is>
      </c>
      <c r="B30" s="7" t="inlineStr">
        <is>
          <t>预留</t>
        </is>
      </c>
      <c r="C30" s="7" t="n">
        <v>100</v>
      </c>
      <c r="D30" s="7" t="n">
        <v>200</v>
      </c>
      <c r="E30" s="7" t="inlineStr"/>
    </row>
    <row r="31">
      <c r="A31" s="8" t="inlineStr">
        <is>
          <t>门票小计</t>
        </is>
      </c>
      <c r="C31" s="9">
        <f>SUM(C25:C29)</f>
        <v/>
      </c>
      <c r="D31" s="10">
        <f>SUM(D25:D29)</f>
        <v/>
      </c>
    </row>
    <row r="32">
      <c r="A32" s="11" t="inlineStr">
        <is>
          <t>其他费用</t>
        </is>
      </c>
    </row>
    <row r="33">
      <c r="A33" s="7" t="inlineStr">
        <is>
          <t>购物/特产</t>
        </is>
      </c>
      <c r="B33" s="7" t="inlineStr">
        <is>
          <t>火锅底料、伴手礼</t>
        </is>
      </c>
      <c r="C33" s="7" t="n">
        <v>200</v>
      </c>
      <c r="D33" s="7" t="n">
        <v>400</v>
      </c>
      <c r="E33" s="7" t="inlineStr"/>
    </row>
    <row r="34">
      <c r="A34" s="7" t="inlineStr">
        <is>
          <t>应急备用金</t>
        </is>
      </c>
      <c r="B34" s="7" t="inlineStr">
        <is>
          <t>预留</t>
        </is>
      </c>
      <c r="C34" s="7" t="n">
        <v>200</v>
      </c>
      <c r="D34" s="7" t="n">
        <v>300</v>
      </c>
      <c r="E34" s="7" t="inlineStr"/>
    </row>
    <row r="35">
      <c r="A35" s="8" t="inlineStr">
        <is>
          <t>其他小计</t>
        </is>
      </c>
      <c r="C35" s="9">
        <f>SUM(C32:C33)</f>
        <v/>
      </c>
      <c r="D35" s="10">
        <f>SUM(D32:D33)</f>
        <v/>
      </c>
    </row>
    <row r="36">
      <c r="A36" s="12" t="inlineStr">
        <is>
          <t>💰 总计</t>
        </is>
      </c>
      <c r="C36" s="12">
        <f>C12+C16+C22+C30+C34</f>
        <v/>
      </c>
      <c r="D36" s="12">
        <f>D12+D16+D22+D30+D34</f>
        <v/>
      </c>
    </row>
    <row r="38">
      <c r="A38" s="13" t="inlineStr">
        <is>
          <t>💡 预算分析</t>
        </is>
      </c>
    </row>
    <row r="39">
      <c r="A39" s="14" t="inlineStr">
        <is>
          <t>总预算</t>
        </is>
      </c>
      <c r="B39" s="7" t="inlineStr">
        <is>
          <t>6000元</t>
        </is>
      </c>
      <c r="C39" s="14" t="inlineStr">
        <is>
          <t>💰 经济型预算</t>
        </is>
      </c>
      <c r="D39" s="14" t="inlineStr">
        <is>
          <t>💰 舒适型预算</t>
        </is>
      </c>
    </row>
    <row r="40">
      <c r="A40" s="14" t="inlineStr">
        <is>
          <t>经济型总计</t>
        </is>
      </c>
      <c r="B40" s="7">
        <f>C35</f>
        <v/>
      </c>
      <c r="C40" s="14" t="inlineStr">
        <is>
          <t>符合预算 ✓</t>
        </is>
      </c>
      <c r="D40" s="14" t="inlineStr"/>
    </row>
    <row r="41">
      <c r="A41" s="14" t="inlineStr">
        <is>
          <t>舒适型总计</t>
        </is>
      </c>
      <c r="B41" s="7">
        <f>D35</f>
        <v/>
      </c>
      <c r="C41" s="14" t="inlineStr"/>
      <c r="D41" s="14" t="inlineStr"/>
    </row>
  </sheetData>
  <mergeCells count="7">
    <mergeCell ref="A38:E38"/>
    <mergeCell ref="A15:E15"/>
    <mergeCell ref="A7:E7"/>
    <mergeCell ref="A25:E25"/>
    <mergeCell ref="A19:E19"/>
    <mergeCell ref="A1:E1"/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2026-03-15T07:04:06Z</dcterms:created>
  <dcterms:modified xmlns:dcterms="http://purl.org/dc/terms/" xmlns:xsi="http://www.w3.org/2001/XMLSchema-instance" xsi:type="dcterms:W3CDTF">2026-03-15T07:04:06Z</dcterms:modified>
</cp:coreProperties>
</file>